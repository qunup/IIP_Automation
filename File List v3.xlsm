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00000000-0000-0000-0000-000000000000}"/>
  <workbookPr showInkAnnotation="0" codeName="ThisWorkbook" autoCompressPictures="0"/>
  <bookViews>
    <workbookView xWindow="40380" yWindow="2000" windowWidth="22780" windowHeight="15900" tabRatio="500"/>
  </bookViews>
  <sheets>
    <sheet name="Macro" sheetId="2" r:id="rId1"/>
    <sheet name="Test" sheetId="3" r:id="rId2"/>
    <sheet name="FrontPage" sheetId="4" r:id="rId3"/>
  </sheets>
  <definedNames>
    <definedName name="C_FileName">Macro!$C$10</definedName>
    <definedName name="C_FilePath">Macro!$B$10</definedName>
    <definedName name="DataType_List">Macro!$G$10:$G$23</definedName>
    <definedName name="DataTypeOutput_List">Macro!$G$30:$G$36</definedName>
    <definedName name="FileField">Macro!$B$10:$D$25</definedName>
    <definedName name="FilePath">Macro!$C$2</definedName>
    <definedName name="OutputField">Macro!$B$30:$E$40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1" i="2" l="1"/>
  <c r="B32" i="2"/>
  <c r="B33" i="2"/>
  <c r="B34" i="2"/>
  <c r="B35" i="2"/>
  <c r="B36" i="2"/>
  <c r="B30" i="2"/>
  <c r="J4" i="3"/>
  <c r="J5" i="3"/>
  <c r="J6" i="3"/>
  <c r="I6" i="3"/>
  <c r="J2" i="3"/>
  <c r="I2" i="3"/>
</calcChain>
</file>

<file path=xl/sharedStrings.xml><?xml version="1.0" encoding="utf-8"?>
<sst xmlns="http://schemas.openxmlformats.org/spreadsheetml/2006/main" count="137" uniqueCount="81">
  <si>
    <t>FileName</t>
  </si>
  <si>
    <t>DataType</t>
  </si>
  <si>
    <t>/Users/qun.wei/Documents/LOBBL/PlanningAutomation/DataSources/</t>
  </si>
  <si>
    <t>Data File Path:</t>
  </si>
  <si>
    <t>FilePath</t>
  </si>
  <si>
    <t>/Users/qun.wei/Documents/LOBBL/PlanningAutomation/DataSources/All Orders Report Latest.csv</t>
  </si>
  <si>
    <t>/Users/qun.wei/Documents/LOBBL/PlanningAutomation/DataSources/April 2016 Receipts.csv</t>
  </si>
  <si>
    <t>/Users/qun.wei/Documents/LOBBL/PlanningAutomation/DataSources/BOM SF - report1462547666063.xls</t>
  </si>
  <si>
    <t>/Users/qun.wei/Documents/LOBBL/PlanningAutomation/DataSources/COOP Monthly - report1462547943335.xls</t>
  </si>
  <si>
    <t>/Users/qun.wei/Documents/LOBBL/PlanningAutomation/DataSources/COOP Other - report1462548020757.xls</t>
  </si>
  <si>
    <t>/Users/qun.wei/Documents/LOBBL/PlanningAutomation/DataSources/Gross Margin - birchbox sales 2016-05-06T1118.csv</t>
  </si>
  <si>
    <t>/Users/qun.wei/Documents/LOBBL/PlanningAutomation/DataSources/Gross Sales Discounts Points  Net Sales - Master File 2016-05-06T1115.csv</t>
  </si>
  <si>
    <t>/Users/qun.wei/Documents/LOBBL/PlanningAutomation/DataSources/Inbound Freight March 2016.xlsx</t>
  </si>
  <si>
    <t>/Users/qun.wei/Documents/LOBBL/PlanningAutomation/DataSources/Inventory Search-05-02-2016--09-45.xlsx</t>
  </si>
  <si>
    <t>/Users/qun.wei/Documents/LOBBL/PlanningAutomation/DataSources/pim_products_20160502144811.csv</t>
  </si>
  <si>
    <t>/Users/qun.wei/Documents/LOBBL/PlanningAutomation/DataSources/pim_samples_20160502144723.csv</t>
  </si>
  <si>
    <t>/Users/qun.wei/Documents/LOBBL/PlanningAutomation/DataSources/pim_vendors_20160502144436.csv</t>
  </si>
  <si>
    <t>All Orders Report Latest.csv</t>
  </si>
  <si>
    <t>April 2016 Receipts.csv</t>
  </si>
  <si>
    <t>BOM SF - report1462547666063.xls</t>
  </si>
  <si>
    <t>COOP Monthly - report1462547943335.xls</t>
  </si>
  <si>
    <t>COOP Other - report1462548020757.xls</t>
  </si>
  <si>
    <t>Gross Margin - birchbox sales 2016-05-06T1118.csv</t>
  </si>
  <si>
    <t>Gross Sales Discounts Points  Net Sales - Master File 2016-05-06T1115.csv</t>
  </si>
  <si>
    <t>Inbound Freight March 2016.xlsx</t>
  </si>
  <si>
    <t>Inventory Search-05-02-2016--09-45.xlsx</t>
  </si>
  <si>
    <t>pim_products_20160502144811.csv</t>
  </si>
  <si>
    <t>pim_samples_20160502144723.csv</t>
  </si>
  <si>
    <t>pim_vendors_20160502144436.csv</t>
  </si>
  <si>
    <t>DataType List</t>
  </si>
  <si>
    <t>PIM Products</t>
  </si>
  <si>
    <t>PIM Samples</t>
  </si>
  <si>
    <t>PIM Vendors</t>
  </si>
  <si>
    <t>BOM SF</t>
  </si>
  <si>
    <t>COOP Monthly</t>
  </si>
  <si>
    <t>COOP Other</t>
  </si>
  <si>
    <t>Gross Margin</t>
  </si>
  <si>
    <t>All Order Report</t>
  </si>
  <si>
    <t>Receipts</t>
  </si>
  <si>
    <t>Inventory Search</t>
  </si>
  <si>
    <t>Sales Master</t>
  </si>
  <si>
    <t>Vendor Map</t>
  </si>
  <si>
    <t>/Users/qun.wei/Documents/LOBBL/PlanningAutomation/DataSources/Vendor Map.xlsx</t>
  </si>
  <si>
    <t>Vendor Map.xlsx</t>
  </si>
  <si>
    <t>Inbound Freight</t>
  </si>
  <si>
    <t>/Users/qun.wei/Documents/LOBBL/PlanningAutomation/OutputMaster/</t>
  </si>
  <si>
    <t>Master File Path:</t>
  </si>
  <si>
    <t>--&gt; Fill out DataType Column --&gt;</t>
  </si>
  <si>
    <t>Master Shop File - BOM 2016.xlsx</t>
  </si>
  <si>
    <t>Master Shop File - COOP 2016.xlsx</t>
  </si>
  <si>
    <t>Master Shop File - Future Sample Receipts 2016.xlsx</t>
  </si>
  <si>
    <t>Master Shop File - Gross Cost &amp; Margin 2016.xlsx</t>
  </si>
  <si>
    <t>Master Shop File - Inbound Freight 2016.xlsx</t>
  </si>
  <si>
    <t>Master Shop File - Receipts 2016.xlsx</t>
  </si>
  <si>
    <t>Master Shop File - Sales, Discounts, Points 2016.xlsx</t>
  </si>
  <si>
    <t>Output Master File</t>
  </si>
  <si>
    <t>Need Input</t>
  </si>
  <si>
    <t>IIP Master Files Generator</t>
  </si>
  <si>
    <t>Steps:</t>
  </si>
  <si>
    <t xml:space="preserve">1. Save all relevant data files to "DataSources". </t>
  </si>
  <si>
    <t>2. Copy all Master files into "OutputMaster"</t>
  </si>
  <si>
    <t>3. Click "Get List of Files", then fill in DataType</t>
  </si>
  <si>
    <t>Old Steps</t>
  </si>
  <si>
    <t>Master Shop File - BOM</t>
  </si>
  <si>
    <t>Value Down: M, O, Q</t>
  </si>
  <si>
    <t>Value Down: D:H, J:H</t>
  </si>
  <si>
    <t>Input</t>
  </si>
  <si>
    <t>Status</t>
  </si>
  <si>
    <t>All Orders</t>
  </si>
  <si>
    <t>Receipt Report</t>
  </si>
  <si>
    <t>Monthly COOP</t>
  </si>
  <si>
    <t>Other COOP</t>
  </si>
  <si>
    <t>Samples COOP</t>
  </si>
  <si>
    <t>Sales, Discounts, Points</t>
  </si>
  <si>
    <t>OHL Inventory</t>
  </si>
  <si>
    <t>In-House Brand COG</t>
  </si>
  <si>
    <t>BOM</t>
  </si>
  <si>
    <t>COOP</t>
  </si>
  <si>
    <t>Future Sample Receipts</t>
  </si>
  <si>
    <t>Gross Cost Margin</t>
  </si>
  <si>
    <t>Output (mostly kept static)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</si>
</sst>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  <font>
      <sz val="12"/>
      <color theme="0" tint="-0.249977111117893"/>
      <name val="Calibri"/>
      <scheme val="minor"/>
    </font>
    <font>
      <b/>
      <sz val="12"/>
      <color theme="0" tint="-0.249977111117893"/>
      <name val="Calibri"/>
      <scheme val="minor"/>
    </font>
    <font>
      <b/>
      <sz val="14"/>
      <color theme="1"/>
      <name val="Calibri"/>
      <scheme val="minor"/>
    </font>
    <font>
      <sz val="12"/>
      <color rgb="FF000000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9">
    <xf numFmtId="0" fontId="0" fillId="0" borderId="0" xfId="0"/>
    <xf numFmtId="0" fontId="0" fillId="2" borderId="0" xfId="0" quotePrefix="1" applyFill="1"/>
    <xf numFmtId="0" fontId="1" fillId="3" borderId="0" xfId="0" applyFont="1" applyFill="1"/>
    <xf numFmtId="0" fontId="0" fillId="3" borderId="0" xfId="0" applyFill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6" xfId="0" applyFill="1" applyBorder="1"/>
    <xf numFmtId="0" fontId="0" fillId="3" borderId="1" xfId="0" applyFill="1" applyBorder="1"/>
    <xf numFmtId="0" fontId="0" fillId="3" borderId="8" xfId="0" applyFill="1" applyBorder="1"/>
    <xf numFmtId="0" fontId="5" fillId="3" borderId="2" xfId="0" applyFont="1" applyFill="1" applyBorder="1"/>
    <xf numFmtId="0" fontId="5" fillId="3" borderId="5" xfId="0" applyFont="1" applyFill="1" applyBorder="1"/>
    <xf numFmtId="0" fontId="5" fillId="3" borderId="7" xfId="0" applyFont="1" applyFill="1" applyBorder="1"/>
    <xf numFmtId="0" fontId="0" fillId="4" borderId="4" xfId="0" applyFill="1" applyBorder="1"/>
    <xf numFmtId="0" fontId="0" fillId="4" borderId="6" xfId="0" applyFill="1" applyBorder="1"/>
    <xf numFmtId="0" fontId="0" fillId="4" borderId="8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6" fillId="5" borderId="10" xfId="0" applyFont="1" applyFill="1" applyBorder="1"/>
    <xf numFmtId="0" fontId="1" fillId="5" borderId="11" xfId="0" applyFont="1" applyFill="1" applyBorder="1"/>
    <xf numFmtId="0" fontId="1" fillId="5" borderId="12" xfId="0" applyFont="1" applyFill="1" applyBorder="1"/>
    <xf numFmtId="0" fontId="1" fillId="5" borderId="9" xfId="0" applyFont="1" applyFill="1" applyBorder="1"/>
    <xf numFmtId="0" fontId="7" fillId="3" borderId="0" xfId="0" quotePrefix="1" applyFont="1" applyFill="1" applyAlignment="1">
      <alignment horizontal="center"/>
    </xf>
    <xf numFmtId="0" fontId="8" fillId="0" borderId="0" xfId="0" applyFont="1"/>
    <xf numFmtId="0" fontId="1" fillId="5" borderId="10" xfId="0" applyFont="1" applyFill="1" applyBorder="1"/>
    <xf numFmtId="0" fontId="0" fillId="3" borderId="2" xfId="0" applyFill="1" applyBorder="1"/>
    <xf numFmtId="0" fontId="0" fillId="3" borderId="5" xfId="0" applyFill="1" applyBorder="1"/>
    <xf numFmtId="0" fontId="0" fillId="3" borderId="7" xfId="0" applyFill="1" applyBorder="1"/>
  </cellXfs>
  <cellStyles count="4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571500</xdr:colOff>
          <xdr:row>4</xdr:row>
          <xdr:rowOff>127000</xdr:rowOff>
        </xdr:from>
        <xdr:to>
          <xdr:col>2</xdr:col>
          <xdr:colOff>1092200</xdr:colOff>
          <xdr:row>6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Get List of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3657600</xdr:colOff>
          <xdr:row>4</xdr:row>
          <xdr:rowOff>127000</xdr:rowOff>
        </xdr:from>
        <xdr:to>
          <xdr:col>3</xdr:col>
          <xdr:colOff>482600</xdr:colOff>
          <xdr:row>6</xdr:row>
          <xdr:rowOff>88900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B2:J40"/>
  <sheetViews>
    <sheetView tabSelected="1" topLeftCell="A6" workbookViewId="0">
      <selection activeCell="C23" sqref="C23"/>
    </sheetView>
  </sheetViews>
  <sheetFormatPr baseColWidth="10" defaultRowHeight="15" x14ac:dyDescent="0"/>
  <cols>
    <col min="1" max="1" width="10.83203125" style="3"/>
    <col min="2" max="2" width="15.5" style="3" customWidth="1"/>
    <col min="3" max="3" width="61.5" style="3" customWidth="1"/>
    <col min="4" max="4" width="20.83203125" style="3" customWidth="1"/>
    <col min="5" max="6" width="10.83203125" style="3"/>
    <col min="7" max="7" width="14.33203125" style="3" customWidth="1"/>
    <col min="8" max="16384" width="10.83203125" style="3"/>
  </cols>
  <sheetData>
    <row r="2" spans="2:10">
      <c r="B2" s="2" t="s">
        <v>3</v>
      </c>
      <c r="C2" s="1" t="s">
        <v>2</v>
      </c>
    </row>
    <row r="3" spans="2:10">
      <c r="B3" s="2" t="s">
        <v>46</v>
      </c>
      <c r="C3" s="1" t="s">
        <v>45</v>
      </c>
    </row>
    <row r="6" spans="2:10" ht="18">
      <c r="C6" s="23" t="s">
        <v>47</v>
      </c>
    </row>
    <row r="8" spans="2:10">
      <c r="B8" s="2" t="s">
        <v>66</v>
      </c>
    </row>
    <row r="9" spans="2:10">
      <c r="B9" s="19" t="s">
        <v>4</v>
      </c>
      <c r="C9" s="20" t="s">
        <v>0</v>
      </c>
      <c r="D9" s="21" t="s">
        <v>1</v>
      </c>
      <c r="G9" s="22" t="s">
        <v>29</v>
      </c>
    </row>
    <row r="10" spans="2:10">
      <c r="B10" s="10" t="s">
        <v>5</v>
      </c>
      <c r="C10" s="4" t="s">
        <v>17</v>
      </c>
      <c r="D10" s="13" t="s">
        <v>68</v>
      </c>
      <c r="G10" s="16" t="s">
        <v>30</v>
      </c>
      <c r="J10" s="3" t="s">
        <v>37</v>
      </c>
    </row>
    <row r="11" spans="2:10">
      <c r="B11" s="11" t="s">
        <v>6</v>
      </c>
      <c r="C11" s="6" t="s">
        <v>18</v>
      </c>
      <c r="D11" s="14" t="s">
        <v>69</v>
      </c>
      <c r="G11" s="17" t="s">
        <v>31</v>
      </c>
      <c r="J11" s="3" t="s">
        <v>38</v>
      </c>
    </row>
    <row r="12" spans="2:10">
      <c r="B12" s="11" t="s">
        <v>7</v>
      </c>
      <c r="C12" s="6" t="s">
        <v>19</v>
      </c>
      <c r="D12" s="14" t="s">
        <v>72</v>
      </c>
      <c r="G12" s="17" t="s">
        <v>32</v>
      </c>
      <c r="J12" s="3" t="s">
        <v>33</v>
      </c>
    </row>
    <row r="13" spans="2:10">
      <c r="B13" s="11" t="s">
        <v>8</v>
      </c>
      <c r="C13" s="6" t="s">
        <v>20</v>
      </c>
      <c r="D13" s="14" t="s">
        <v>70</v>
      </c>
      <c r="G13" s="17" t="s">
        <v>72</v>
      </c>
      <c r="J13" s="3" t="s">
        <v>34</v>
      </c>
    </row>
    <row r="14" spans="2:10">
      <c r="B14" s="11" t="s">
        <v>9</v>
      </c>
      <c r="C14" s="6" t="s">
        <v>21</v>
      </c>
      <c r="D14" s="14" t="s">
        <v>71</v>
      </c>
      <c r="G14" s="17" t="s">
        <v>70</v>
      </c>
      <c r="J14" s="3" t="s">
        <v>35</v>
      </c>
    </row>
    <row r="15" spans="2:10">
      <c r="B15" s="11" t="s">
        <v>10</v>
      </c>
      <c r="C15" s="6" t="s">
        <v>22</v>
      </c>
      <c r="D15" s="14" t="s">
        <v>36</v>
      </c>
      <c r="G15" s="17" t="s">
        <v>71</v>
      </c>
      <c r="J15" s="3" t="s">
        <v>36</v>
      </c>
    </row>
    <row r="16" spans="2:10">
      <c r="B16" s="11" t="s">
        <v>11</v>
      </c>
      <c r="C16" s="6" t="s">
        <v>23</v>
      </c>
      <c r="D16" s="14" t="s">
        <v>73</v>
      </c>
      <c r="G16" s="17" t="s">
        <v>36</v>
      </c>
      <c r="J16" s="3" t="s">
        <v>40</v>
      </c>
    </row>
    <row r="17" spans="2:10">
      <c r="B17" s="11" t="s">
        <v>12</v>
      </c>
      <c r="C17" s="6" t="s">
        <v>24</v>
      </c>
      <c r="D17" s="14" t="s">
        <v>44</v>
      </c>
      <c r="G17" s="17" t="s">
        <v>73</v>
      </c>
      <c r="J17" s="3" t="s">
        <v>44</v>
      </c>
    </row>
    <row r="18" spans="2:10">
      <c r="B18" s="11" t="s">
        <v>13</v>
      </c>
      <c r="C18" s="6" t="s">
        <v>25</v>
      </c>
      <c r="D18" s="14" t="s">
        <v>74</v>
      </c>
      <c r="G18" s="17" t="s">
        <v>68</v>
      </c>
      <c r="J18" s="3" t="s">
        <v>39</v>
      </c>
    </row>
    <row r="19" spans="2:10">
      <c r="B19" s="11" t="s">
        <v>14</v>
      </c>
      <c r="C19" s="6" t="s">
        <v>26</v>
      </c>
      <c r="D19" s="14" t="s">
        <v>30</v>
      </c>
      <c r="G19" s="17" t="s">
        <v>44</v>
      </c>
      <c r="J19" s="3" t="s">
        <v>30</v>
      </c>
    </row>
    <row r="20" spans="2:10">
      <c r="B20" s="11" t="s">
        <v>15</v>
      </c>
      <c r="C20" s="6" t="s">
        <v>27</v>
      </c>
      <c r="D20" s="14" t="s">
        <v>31</v>
      </c>
      <c r="G20" s="17" t="s">
        <v>69</v>
      </c>
      <c r="J20" s="3" t="s">
        <v>31</v>
      </c>
    </row>
    <row r="21" spans="2:10">
      <c r="B21" s="11" t="s">
        <v>16</v>
      </c>
      <c r="C21" s="6" t="s">
        <v>28</v>
      </c>
      <c r="D21" s="14" t="s">
        <v>32</v>
      </c>
      <c r="G21" s="17" t="s">
        <v>74</v>
      </c>
      <c r="J21" s="3" t="s">
        <v>32</v>
      </c>
    </row>
    <row r="22" spans="2:10">
      <c r="B22" s="11" t="s">
        <v>42</v>
      </c>
      <c r="C22" s="6" t="s">
        <v>43</v>
      </c>
      <c r="D22" s="14" t="s">
        <v>41</v>
      </c>
      <c r="G22" s="17" t="s">
        <v>75</v>
      </c>
      <c r="J22" s="3" t="s">
        <v>41</v>
      </c>
    </row>
    <row r="23" spans="2:10">
      <c r="B23" s="11"/>
      <c r="C23" s="6"/>
      <c r="D23" s="14"/>
      <c r="G23" s="18" t="s">
        <v>41</v>
      </c>
    </row>
    <row r="24" spans="2:10">
      <c r="B24" s="11"/>
      <c r="C24" s="6"/>
      <c r="D24" s="14"/>
    </row>
    <row r="25" spans="2:10">
      <c r="B25" s="12"/>
      <c r="C25" s="8"/>
      <c r="D25" s="15"/>
    </row>
    <row r="28" spans="2:10">
      <c r="B28" s="2" t="s">
        <v>80</v>
      </c>
    </row>
    <row r="29" spans="2:10">
      <c r="B29" s="25" t="s">
        <v>4</v>
      </c>
      <c r="C29" s="20" t="s">
        <v>0</v>
      </c>
      <c r="D29" s="21" t="s">
        <v>1</v>
      </c>
      <c r="E29" s="22" t="s">
        <v>67</v>
      </c>
      <c r="G29" s="22" t="s">
        <v>29</v>
      </c>
    </row>
    <row r="30" spans="2:10">
      <c r="B30" s="26" t="str">
        <f>$C$3&amp;C30</f>
        <v>/Users/qun.wei/Documents/LOBBL/PlanningAutomation/OutputMaster/Master Shop File - BOM 2016.xlsx</v>
      </c>
      <c r="C30" s="4" t="s">
        <v>48</v>
      </c>
      <c r="D30" s="5" t="s">
        <v>76</v>
      </c>
      <c r="E30" s="5"/>
      <c r="G30" s="16" t="s">
        <v>76</v>
      </c>
    </row>
    <row r="31" spans="2:10">
      <c r="B31" s="27" t="str">
        <f t="shared" ref="B31:B36" si="0">$C$3&amp;C31</f>
        <v>/Users/qun.wei/Documents/LOBBL/PlanningAutomation/OutputMaster/Master Shop File - COOP 2016.xlsx</v>
      </c>
      <c r="C31" s="6" t="s">
        <v>49</v>
      </c>
      <c r="D31" s="7" t="s">
        <v>77</v>
      </c>
      <c r="E31" s="7"/>
      <c r="G31" s="17" t="s">
        <v>77</v>
      </c>
    </row>
    <row r="32" spans="2:10">
      <c r="B32" s="27" t="str">
        <f t="shared" si="0"/>
        <v>/Users/qun.wei/Documents/LOBBL/PlanningAutomation/OutputMaster/Master Shop File - Future Sample Receipts 2016.xlsx</v>
      </c>
      <c r="C32" s="6" t="s">
        <v>50</v>
      </c>
      <c r="D32" s="7" t="s">
        <v>78</v>
      </c>
      <c r="E32" s="7"/>
      <c r="G32" s="17" t="s">
        <v>78</v>
      </c>
    </row>
    <row r="33" spans="2:7">
      <c r="B33" s="27" t="str">
        <f t="shared" si="0"/>
        <v>/Users/qun.wei/Documents/LOBBL/PlanningAutomation/OutputMaster/Master Shop File - Gross Cost &amp; Margin 2016.xlsx</v>
      </c>
      <c r="C33" s="6" t="s">
        <v>51</v>
      </c>
      <c r="D33" s="7" t="s">
        <v>79</v>
      </c>
      <c r="E33" s="7"/>
      <c r="G33" s="17" t="s">
        <v>79</v>
      </c>
    </row>
    <row r="34" spans="2:7">
      <c r="B34" s="27" t="str">
        <f t="shared" si="0"/>
        <v>/Users/qun.wei/Documents/LOBBL/PlanningAutomation/OutputMaster/Master Shop File - Inbound Freight 2016.xlsx</v>
      </c>
      <c r="C34" s="6" t="s">
        <v>52</v>
      </c>
      <c r="D34" s="7" t="s">
        <v>44</v>
      </c>
      <c r="E34" s="7"/>
      <c r="G34" s="17" t="s">
        <v>44</v>
      </c>
    </row>
    <row r="35" spans="2:7">
      <c r="B35" s="27" t="str">
        <f t="shared" si="0"/>
        <v>/Users/qun.wei/Documents/LOBBL/PlanningAutomation/OutputMaster/Master Shop File - Receipts 2016.xlsx</v>
      </c>
      <c r="C35" s="6" t="s">
        <v>53</v>
      </c>
      <c r="D35" s="7" t="s">
        <v>38</v>
      </c>
      <c r="E35" s="7"/>
      <c r="G35" s="17" t="s">
        <v>38</v>
      </c>
    </row>
    <row r="36" spans="2:7">
      <c r="B36" s="27" t="str">
        <f t="shared" si="0"/>
        <v>/Users/qun.wei/Documents/LOBBL/PlanningAutomation/OutputMaster/Master Shop File - Sales, Discounts, Points 2016.xlsx</v>
      </c>
      <c r="C36" s="6" t="s">
        <v>54</v>
      </c>
      <c r="D36" s="7" t="s">
        <v>73</v>
      </c>
      <c r="E36" s="7"/>
      <c r="G36" s="18" t="s">
        <v>73</v>
      </c>
    </row>
    <row r="37" spans="2:7">
      <c r="B37" s="27"/>
      <c r="C37" s="6"/>
      <c r="D37" s="7"/>
      <c r="E37" s="7"/>
    </row>
    <row r="38" spans="2:7">
      <c r="B38" s="27"/>
      <c r="C38" s="6"/>
      <c r="D38" s="7"/>
      <c r="E38" s="7"/>
    </row>
    <row r="39" spans="2:7">
      <c r="B39" s="27"/>
      <c r="C39" s="6"/>
      <c r="D39" s="7"/>
      <c r="E39" s="7"/>
    </row>
    <row r="40" spans="2:7">
      <c r="B40" s="28"/>
      <c r="C40" s="8"/>
      <c r="D40" s="9"/>
      <c r="E40" s="9"/>
    </row>
  </sheetData>
  <dataValidations count="2">
    <dataValidation type="list" allowBlank="1" showInputMessage="1" showErrorMessage="1" sqref="D10:D25">
      <formula1>DataType_List</formula1>
    </dataValidation>
    <dataValidation type="list" allowBlank="1" showInputMessage="1" showErrorMessage="1" sqref="D30:D40">
      <formula1>DataTypeOutput_List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File">
                <anchor moveWithCells="1" sizeWithCells="1">
                  <from>
                    <xdr:col>1</xdr:col>
                    <xdr:colOff>571500</xdr:colOff>
                    <xdr:row>4</xdr:row>
                    <xdr:rowOff>127000</xdr:rowOff>
                  </from>
                  <to>
                    <xdr:col>2</xdr:col>
                    <xdr:colOff>1092200</xdr:colOff>
                    <xdr:row>6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ImportData">
                <anchor moveWithCells="1" sizeWithCells="1">
                  <from>
                    <xdr:col>2</xdr:col>
                    <xdr:colOff>3657600</xdr:colOff>
                    <xdr:row>4</xdr:row>
                    <xdr:rowOff>127000</xdr:rowOff>
                  </from>
                  <to>
                    <xdr:col>3</xdr:col>
                    <xdr:colOff>482600</xdr:colOff>
                    <xdr:row>6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K27"/>
  <sheetViews>
    <sheetView workbookViewId="0">
      <selection activeCell="B9" sqref="B3:B9"/>
    </sheetView>
  </sheetViews>
  <sheetFormatPr baseColWidth="10" defaultRowHeight="15" x14ac:dyDescent="0"/>
  <cols>
    <col min="2" max="2" width="43.5" bestFit="1" customWidth="1"/>
    <col min="3" max="3" width="11.83203125" customWidth="1"/>
  </cols>
  <sheetData>
    <row r="2" spans="2:11">
      <c r="B2" t="s">
        <v>55</v>
      </c>
      <c r="C2" t="s">
        <v>56</v>
      </c>
      <c r="G2">
        <v>12</v>
      </c>
      <c r="H2">
        <v>33</v>
      </c>
      <c r="I2">
        <f>G2+H2</f>
        <v>45</v>
      </c>
      <c r="J2" t="str">
        <f>"ABC"&amp;I2</f>
        <v>ABC45</v>
      </c>
    </row>
    <row r="3" spans="2:11">
      <c r="B3" s="24" t="s">
        <v>48</v>
      </c>
      <c r="C3" t="s">
        <v>30</v>
      </c>
      <c r="D3" t="s">
        <v>31</v>
      </c>
      <c r="E3" t="s">
        <v>32</v>
      </c>
      <c r="G3">
        <v>44</v>
      </c>
      <c r="H3">
        <v>11112</v>
      </c>
      <c r="I3">
        <v>11156</v>
      </c>
      <c r="J3">
        <v>9</v>
      </c>
      <c r="K3">
        <v>59</v>
      </c>
    </row>
    <row r="4" spans="2:11">
      <c r="B4" s="24" t="s">
        <v>49</v>
      </c>
      <c r="G4">
        <v>4</v>
      </c>
      <c r="H4">
        <v>5</v>
      </c>
      <c r="I4">
        <v>9</v>
      </c>
      <c r="J4" t="str">
        <f t="shared" ref="J3:J6" si="0">"ABC"&amp;I4</f>
        <v>ABC9</v>
      </c>
    </row>
    <row r="5" spans="2:11">
      <c r="B5" s="24" t="s">
        <v>50</v>
      </c>
      <c r="G5">
        <v>55</v>
      </c>
      <c r="H5">
        <v>4</v>
      </c>
      <c r="I5">
        <v>59</v>
      </c>
      <c r="J5" t="str">
        <f t="shared" si="0"/>
        <v>ABC59</v>
      </c>
    </row>
    <row r="6" spans="2:11">
      <c r="B6" s="24" t="s">
        <v>51</v>
      </c>
      <c r="G6">
        <v>23</v>
      </c>
      <c r="H6">
        <v>2323</v>
      </c>
      <c r="I6">
        <f t="shared" ref="I3:I6" si="1">G6+H6</f>
        <v>2346</v>
      </c>
      <c r="J6" t="str">
        <f t="shared" si="0"/>
        <v>ABC2346</v>
      </c>
    </row>
    <row r="7" spans="2:11">
      <c r="B7" s="24" t="s">
        <v>52</v>
      </c>
    </row>
    <row r="8" spans="2:11">
      <c r="B8" s="24" t="s">
        <v>53</v>
      </c>
    </row>
    <row r="9" spans="2:11">
      <c r="B9" s="24" t="s">
        <v>54</v>
      </c>
    </row>
    <row r="15" spans="2:11">
      <c r="B15" t="s">
        <v>30</v>
      </c>
    </row>
    <row r="16" spans="2:11">
      <c r="B16" t="s">
        <v>31</v>
      </c>
    </row>
    <row r="17" spans="2:2">
      <c r="B17" t="s">
        <v>32</v>
      </c>
    </row>
    <row r="18" spans="2:2">
      <c r="B18" t="s">
        <v>33</v>
      </c>
    </row>
    <row r="19" spans="2:2">
      <c r="B19" t="s">
        <v>34</v>
      </c>
    </row>
    <row r="20" spans="2:2">
      <c r="B20" t="s">
        <v>35</v>
      </c>
    </row>
    <row r="21" spans="2:2">
      <c r="B21" t="s">
        <v>36</v>
      </c>
    </row>
    <row r="22" spans="2:2">
      <c r="B22" t="s">
        <v>40</v>
      </c>
    </row>
    <row r="23" spans="2:2">
      <c r="B23" t="s">
        <v>37</v>
      </c>
    </row>
    <row r="24" spans="2:2">
      <c r="B24" t="s">
        <v>44</v>
      </c>
    </row>
    <row r="25" spans="2:2">
      <c r="B25" t="s">
        <v>38</v>
      </c>
    </row>
    <row r="26" spans="2:2">
      <c r="B26" t="s">
        <v>39</v>
      </c>
    </row>
    <row r="27" spans="2:2">
      <c r="B27" t="s">
        <v>41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J7"/>
  <sheetViews>
    <sheetView workbookViewId="0">
      <selection activeCell="J8" sqref="J8"/>
    </sheetView>
  </sheetViews>
  <sheetFormatPr baseColWidth="10" defaultRowHeight="15" x14ac:dyDescent="0"/>
  <cols>
    <col min="1" max="16384" width="10.83203125" style="3"/>
  </cols>
  <sheetData>
    <row r="2" spans="2:10">
      <c r="B2" s="3" t="s">
        <v>57</v>
      </c>
    </row>
    <row r="4" spans="2:10">
      <c r="B4" s="3" t="s">
        <v>58</v>
      </c>
      <c r="J4" s="3" t="s">
        <v>62</v>
      </c>
    </row>
    <row r="5" spans="2:10">
      <c r="B5" s="3" t="s">
        <v>59</v>
      </c>
      <c r="J5" s="3" t="s">
        <v>63</v>
      </c>
    </row>
    <row r="6" spans="2:10">
      <c r="B6" s="3" t="s">
        <v>60</v>
      </c>
      <c r="J6" s="3" t="s">
        <v>64</v>
      </c>
    </row>
    <row r="7" spans="2:10">
      <c r="B7" s="3" t="s">
        <v>61</v>
      </c>
      <c r="J7" s="3" t="s">
        <v>65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Macro</vt:lpstr>
      <vt:lpstr>Test</vt:lpstr>
      <vt:lpstr>FrontPage</vt:lpstr>
    </vt:vector>
  </TitlesOfParts>
  <Company>BIRCHBOX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Qun Wei</dc:creator>
  <cp:lastModifiedBy>Qun Wei</cp:lastModifiedBy>
  <dcterms:created xsi:type="dcterms:W3CDTF">2016-05-06T20:43:19Z</dcterms:created>
  <dcterms:modified xsi:type="dcterms:W3CDTF">2016-05-26T20:18:43Z</dcterms:modified>
</cp:coreProperties>
</file>